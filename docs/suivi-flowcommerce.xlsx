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uivi" sheetId="2" state="visible" r:id="rId2"/>
    <sheet name="Retours de test" sheetId="3" state="visible" r:id="rId3"/>
  </sheets>
  <definedNames>
    <definedName name="_xlnm._FilterDatabase" localSheetId="1" hidden="1">'Suivi'!$A$1:$I$38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6325C"/>
      <sz val="16"/>
    </font>
    <font>
      <name val="Arial"/>
      <i val="1"/>
      <color rgb="005B647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6325C"/>
      </patternFill>
    </fill>
  </fills>
  <borders count="2">
    <border>
      <left/>
      <right/>
      <top/>
      <bottom/>
      <diagonal/>
    </border>
    <border>
      <bottom style="thin">
        <color rgb="00D8DE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9" fontId="2" fillId="0" borderId="1" pivotButton="0" quotePrefix="0" xfId="0"/>
    <xf numFmtId="0" fontId="5" fillId="0" borderId="1" pivotButton="0" quotePrefix="0" xfId="0"/>
    <xf numFmtId="9" fontId="5" fillId="0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  <color rgb="0016693A"/>
      </font>
      <fill>
        <patternFill patternType="solid">
          <fgColor rgb="00DDF3E6"/>
        </patternFill>
      </fill>
    </dxf>
    <dxf>
      <font>
        <name val="Arial"/>
        <b val="1"/>
        <color rgb="001E4E9E"/>
      </font>
      <fill>
        <patternFill patternType="solid">
          <fgColor rgb="00E3ECFB"/>
        </patternFill>
      </fill>
    </dxf>
    <dxf>
      <font>
        <name val="Arial"/>
        <b val="1"/>
        <color rgb="007A5608"/>
      </font>
      <fill>
        <patternFill patternType="solid">
          <fgColor rgb="00FBF0D6"/>
        </patternFill>
      </fill>
    </dxf>
    <dxf>
      <font>
        <name val="Arial"/>
        <b val="1"/>
        <color rgb="004A5261"/>
      </font>
      <fill>
        <patternFill patternType="solid">
          <fgColor rgb="00ECEE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9" customWidth="1" min="4" max="4"/>
    <col width="8" customWidth="1" min="5" max="5"/>
    <col width="8" customWidth="1" min="6" max="6"/>
    <col width="13" customWidth="1" min="7" max="7"/>
  </cols>
  <sheetData>
    <row r="1">
      <c r="A1" s="1" t="inlineStr">
        <is>
          <t>FlowCommerce — suivi</t>
        </is>
      </c>
    </row>
    <row r="2">
      <c r="A2" s="2" t="inlineStr">
        <is>
          <t>À modifier : onglet Suivi (colonne Statut, nouvelles lignes) et onglet Retours de test. Ce tableau se calcule seul.</t>
        </is>
      </c>
    </row>
    <row r="4">
      <c r="A4" s="3" t="inlineStr">
        <is>
          <t>Version</t>
        </is>
      </c>
      <c r="B4" s="3" t="inlineStr">
        <is>
          <t>À faire</t>
        </is>
      </c>
      <c r="C4" s="3" t="inlineStr">
        <is>
          <t>En cours</t>
        </is>
      </c>
      <c r="D4" s="3" t="inlineStr">
        <is>
          <t>En test</t>
        </is>
      </c>
      <c r="E4" s="3" t="inlineStr">
        <is>
          <t>Fait</t>
        </is>
      </c>
      <c r="F4" s="3" t="inlineStr">
        <is>
          <t>Total</t>
        </is>
      </c>
      <c r="G4" s="3" t="inlineStr">
        <is>
          <t>Avancement</t>
        </is>
      </c>
    </row>
    <row r="5">
      <c r="A5" s="4" t="inlineStr">
        <is>
          <t>1.0.0</t>
        </is>
      </c>
      <c r="B5" s="4">
        <f>COUNTIFS(Suivi!$B$2:$B$300,$A5,Suivi!$F$2:$F$300,"À faire")</f>
        <v/>
      </c>
      <c r="C5" s="4">
        <f>COUNTIFS(Suivi!$B$2:$B$300,$A5,Suivi!$F$2:$F$300,"En cours")</f>
        <v/>
      </c>
      <c r="D5" s="4">
        <f>COUNTIFS(Suivi!$B$2:$B$300,$A5,Suivi!$F$2:$F$300,"En test")</f>
        <v/>
      </c>
      <c r="E5" s="4">
        <f>COUNTIFS(Suivi!$B$2:$B$300,$A5,Suivi!$F$2:$F$300,"Fait")</f>
        <v/>
      </c>
      <c r="F5" s="4">
        <f>SUM(B5:E5)</f>
        <v/>
      </c>
      <c r="G5" s="5">
        <f>IF(F5=0,0,E5/F5)</f>
        <v/>
      </c>
    </row>
    <row r="6">
      <c r="A6" s="4" t="inlineStr">
        <is>
          <t>1.0.1</t>
        </is>
      </c>
      <c r="B6" s="4">
        <f>COUNTIFS(Suivi!$B$2:$B$300,$A6,Suivi!$F$2:$F$300,"À faire")</f>
        <v/>
      </c>
      <c r="C6" s="4">
        <f>COUNTIFS(Suivi!$B$2:$B$300,$A6,Suivi!$F$2:$F$300,"En cours")</f>
        <v/>
      </c>
      <c r="D6" s="4">
        <f>COUNTIFS(Suivi!$B$2:$B$300,$A6,Suivi!$F$2:$F$300,"En test")</f>
        <v/>
      </c>
      <c r="E6" s="4">
        <f>COUNTIFS(Suivi!$B$2:$B$300,$A6,Suivi!$F$2:$F$300,"Fait")</f>
        <v/>
      </c>
      <c r="F6" s="4">
        <f>SUM(B6:E6)</f>
        <v/>
      </c>
      <c r="G6" s="5">
        <f>IF(F6=0,0,E6/F6)</f>
        <v/>
      </c>
    </row>
    <row r="7">
      <c r="A7" s="4" t="inlineStr">
        <is>
          <t>1.0.2</t>
        </is>
      </c>
      <c r="B7" s="4">
        <f>COUNTIFS(Suivi!$B$2:$B$300,$A7,Suivi!$F$2:$F$300,"À faire")</f>
        <v/>
      </c>
      <c r="C7" s="4">
        <f>COUNTIFS(Suivi!$B$2:$B$300,$A7,Suivi!$F$2:$F$300,"En cours")</f>
        <v/>
      </c>
      <c r="D7" s="4">
        <f>COUNTIFS(Suivi!$B$2:$B$300,$A7,Suivi!$F$2:$F$300,"En test")</f>
        <v/>
      </c>
      <c r="E7" s="4">
        <f>COUNTIFS(Suivi!$B$2:$B$300,$A7,Suivi!$F$2:$F$300,"Fait")</f>
        <v/>
      </c>
      <c r="F7" s="4">
        <f>SUM(B7:E7)</f>
        <v/>
      </c>
      <c r="G7" s="5">
        <f>IF(F7=0,0,E7/F7)</f>
        <v/>
      </c>
    </row>
    <row r="8">
      <c r="A8" s="4" t="inlineStr">
        <is>
          <t>Production</t>
        </is>
      </c>
      <c r="B8" s="4">
        <f>COUNTIFS(Suivi!$B$2:$B$300,$A8,Suivi!$F$2:$F$300,"À faire")</f>
        <v/>
      </c>
      <c r="C8" s="4">
        <f>COUNTIFS(Suivi!$B$2:$B$300,$A8,Suivi!$F$2:$F$300,"En cours")</f>
        <v/>
      </c>
      <c r="D8" s="4">
        <f>COUNTIFS(Suivi!$B$2:$B$300,$A8,Suivi!$F$2:$F$300,"En test")</f>
        <v/>
      </c>
      <c r="E8" s="4">
        <f>COUNTIFS(Suivi!$B$2:$B$300,$A8,Suivi!$F$2:$F$300,"Fait")</f>
        <v/>
      </c>
      <c r="F8" s="4">
        <f>SUM(B8:E8)</f>
        <v/>
      </c>
      <c r="G8" s="5">
        <f>IF(F8=0,0,E8/F8)</f>
        <v/>
      </c>
    </row>
    <row r="9">
      <c r="A9" s="4" t="inlineStr">
        <is>
          <t>1.1.0</t>
        </is>
      </c>
      <c r="B9" s="4">
        <f>COUNTIFS(Suivi!$B$2:$B$300,$A9,Suivi!$F$2:$F$300,"À faire")</f>
        <v/>
      </c>
      <c r="C9" s="4">
        <f>COUNTIFS(Suivi!$B$2:$B$300,$A9,Suivi!$F$2:$F$300,"En cours")</f>
        <v/>
      </c>
      <c r="D9" s="4">
        <f>COUNTIFS(Suivi!$B$2:$B$300,$A9,Suivi!$F$2:$F$300,"En test")</f>
        <v/>
      </c>
      <c r="E9" s="4">
        <f>COUNTIFS(Suivi!$B$2:$B$300,$A9,Suivi!$F$2:$F$300,"Fait")</f>
        <v/>
      </c>
      <c r="F9" s="4">
        <f>SUM(B9:E9)</f>
        <v/>
      </c>
      <c r="G9" s="5">
        <f>IF(F9=0,0,E9/F9)</f>
        <v/>
      </c>
    </row>
    <row r="10">
      <c r="A10" s="4" t="inlineStr">
        <is>
          <t>1.2.0</t>
        </is>
      </c>
      <c r="B10" s="4">
        <f>COUNTIFS(Suivi!$B$2:$B$300,$A10,Suivi!$F$2:$F$300,"À faire")</f>
        <v/>
      </c>
      <c r="C10" s="4">
        <f>COUNTIFS(Suivi!$B$2:$B$300,$A10,Suivi!$F$2:$F$300,"En cours")</f>
        <v/>
      </c>
      <c r="D10" s="4">
        <f>COUNTIFS(Suivi!$B$2:$B$300,$A10,Suivi!$F$2:$F$300,"En test")</f>
        <v/>
      </c>
      <c r="E10" s="4">
        <f>COUNTIFS(Suivi!$B$2:$B$300,$A10,Suivi!$F$2:$F$300,"Fait")</f>
        <v/>
      </c>
      <c r="F10" s="4">
        <f>SUM(B10:E10)</f>
        <v/>
      </c>
      <c r="G10" s="5">
        <f>IF(F10=0,0,E10/F10)</f>
        <v/>
      </c>
    </row>
    <row r="11">
      <c r="A11" s="4" t="inlineStr">
        <is>
          <t>Plus tard</t>
        </is>
      </c>
      <c r="B11" s="4">
        <f>COUNTIFS(Suivi!$B$2:$B$300,$A11,Suivi!$F$2:$F$300,"À faire")</f>
        <v/>
      </c>
      <c r="C11" s="4">
        <f>COUNTIFS(Suivi!$B$2:$B$300,$A11,Suivi!$F$2:$F$300,"En cours")</f>
        <v/>
      </c>
      <c r="D11" s="4">
        <f>COUNTIFS(Suivi!$B$2:$B$300,$A11,Suivi!$F$2:$F$300,"En test")</f>
        <v/>
      </c>
      <c r="E11" s="4">
        <f>COUNTIFS(Suivi!$B$2:$B$300,$A11,Suivi!$F$2:$F$300,"Fait")</f>
        <v/>
      </c>
      <c r="F11" s="4">
        <f>SUM(B11:E11)</f>
        <v/>
      </c>
      <c r="G11" s="5">
        <f>IF(F11=0,0,E11/F11)</f>
        <v/>
      </c>
    </row>
    <row r="12">
      <c r="A12" s="6" t="inlineStr">
        <is>
          <t>Total</t>
        </is>
      </c>
      <c r="B12" s="6">
        <f>SUM(B5:B11)</f>
        <v/>
      </c>
      <c r="C12" s="6">
        <f>SUM(C5:C11)</f>
        <v/>
      </c>
      <c r="D12" s="6">
        <f>SUM(D5:D11)</f>
        <v/>
      </c>
      <c r="E12" s="6">
        <f>SUM(E5:E11)</f>
        <v/>
      </c>
      <c r="F12" s="6">
        <f>SUM(F5:F11)</f>
        <v/>
      </c>
      <c r="G12" s="7">
        <f>IF(F12=0,0,E12/F12)</f>
        <v/>
      </c>
    </row>
    <row r="14">
      <c r="A14" s="8" t="inlineStr">
        <is>
          <t>Retours de test ouverts</t>
        </is>
      </c>
      <c r="B14" s="9">
        <f>COUNTIFS('Retours de test'!$H$2:$H$300,"&lt;&gt;Fait",'Retours de test'!$D$2:$D$300,"&lt;&gt;")</f>
        <v/>
      </c>
    </row>
    <row r="16">
      <c r="A16" s="2" t="inlineStr">
        <is>
          <t>Réf. AF : voir docs/af-v1.md et docs/af-v2.md. État au 01/10/2026.</t>
        </is>
      </c>
    </row>
  </sheetData>
  <conditionalFormatting sqref="G5:G12">
    <cfRule type="dataBar" priority="1">
      <dataBar>
        <cfvo type="num" val="0"/>
        <cfvo type="num" val="1"/>
        <color rgb="00F2B544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62" customWidth="1" min="4" max="4"/>
    <col width="9" customWidth="1" min="5" max="5"/>
    <col width="11" customWidth="1" min="6" max="6"/>
    <col width="9" customWidth="1" min="7" max="7"/>
    <col width="12" customWidth="1" min="8" max="8"/>
    <col width="32" customWidth="1" min="9" max="9"/>
  </cols>
  <sheetData>
    <row r="1">
      <c r="A1" s="10" t="inlineStr">
        <is>
          <t>ID</t>
        </is>
      </c>
      <c r="B1" s="10" t="inlineStr">
        <is>
          <t>Version</t>
        </is>
      </c>
      <c r="C1" s="10" t="inlineStr">
        <is>
          <t>Réf. AF</t>
        </is>
      </c>
      <c r="D1" s="10" t="inlineStr">
        <is>
          <t>Tâche</t>
        </is>
      </c>
      <c r="E1" s="10" t="inlineStr">
        <is>
          <t>Zone</t>
        </is>
      </c>
      <c r="F1" s="10" t="inlineStr">
        <is>
          <t>Statut</t>
        </is>
      </c>
      <c r="G1" s="10" t="inlineStr">
        <is>
          <t>Priorité</t>
        </is>
      </c>
      <c r="H1" s="10" t="inlineStr">
        <is>
          <t>Date de fin</t>
        </is>
      </c>
      <c r="I1" s="10" t="inlineStr">
        <is>
          <t>Notes</t>
        </is>
      </c>
    </row>
    <row r="2">
      <c r="A2" s="11" t="inlineStr">
        <is>
          <t>FC-001</t>
        </is>
      </c>
      <c r="B2" s="11" t="inlineStr">
        <is>
          <t>1.0.0</t>
        </is>
      </c>
      <c r="C2" s="11" t="inlineStr">
        <is>
          <t>F-01</t>
        </is>
      </c>
      <c r="D2" s="11" t="inlineStr">
        <is>
          <t>Compte : email, Google, mot de passe oublié, vérification email</t>
        </is>
      </c>
      <c r="E2" s="11" t="inlineStr">
        <is>
          <t>mobile</t>
        </is>
      </c>
      <c r="F2" s="11" t="inlineStr">
        <is>
          <t>Fait</t>
        </is>
      </c>
      <c r="G2" s="11" t="inlineStr">
        <is>
          <t>P1</t>
        </is>
      </c>
      <c r="H2" s="11" t="inlineStr"/>
      <c r="I2" s="11" t="inlineStr"/>
    </row>
    <row r="3">
      <c r="A3" s="11" t="inlineStr">
        <is>
          <t>FC-002</t>
        </is>
      </c>
      <c r="B3" s="11" t="inlineStr">
        <is>
          <t>1.0.0</t>
        </is>
      </c>
      <c r="C3" s="11" t="inlineStr">
        <is>
          <t>F-02</t>
        </is>
      </c>
      <c r="D3" s="11" t="inlineStr">
        <is>
          <t>Plusieurs boutiques, boutique active, sélecteur dans l’en-tête</t>
        </is>
      </c>
      <c r="E3" s="11" t="inlineStr">
        <is>
          <t>mobile</t>
        </is>
      </c>
      <c r="F3" s="11" t="inlineStr">
        <is>
          <t>Fait</t>
        </is>
      </c>
      <c r="G3" s="11" t="inlineStr">
        <is>
          <t>P1</t>
        </is>
      </c>
      <c r="H3" s="11" t="inlineStr"/>
      <c r="I3" s="11" t="inlineStr"/>
    </row>
    <row r="4">
      <c r="A4" s="11" t="inlineStr">
        <is>
          <t>FC-003</t>
        </is>
      </c>
      <c r="B4" s="11" t="inlineStr">
        <is>
          <t>1.0.0</t>
        </is>
      </c>
      <c r="C4" s="11" t="inlineStr">
        <is>
          <t>F-03</t>
        </is>
      </c>
      <c r="D4" s="11" t="inlineStr">
        <is>
          <t>Produits et catégories (liste standard + ajout), archivage</t>
        </is>
      </c>
      <c r="E4" s="11" t="inlineStr">
        <is>
          <t>mobile</t>
        </is>
      </c>
      <c r="F4" s="11" t="inlineStr">
        <is>
          <t>Fait</t>
        </is>
      </c>
      <c r="G4" s="11" t="inlineStr">
        <is>
          <t>P1</t>
        </is>
      </c>
      <c r="H4" s="11" t="inlineStr"/>
      <c r="I4" s="11" t="inlineStr"/>
    </row>
    <row r="5">
      <c r="A5" s="11" t="inlineStr">
        <is>
          <t>FC-004</t>
        </is>
      </c>
      <c r="B5" s="11" t="inlineStr">
        <is>
          <t>1.0.0</t>
        </is>
      </c>
      <c r="C5" s="11" t="inlineStr">
        <is>
          <t>F-04</t>
        </is>
      </c>
      <c r="D5" s="11" t="inlineStr">
        <is>
          <t>Mouvements de stock, réapprovisionnement rapide, historique</t>
        </is>
      </c>
      <c r="E5" s="11" t="inlineStr">
        <is>
          <t>mobile</t>
        </is>
      </c>
      <c r="F5" s="11" t="inlineStr">
        <is>
          <t>Fait</t>
        </is>
      </c>
      <c r="G5" s="11" t="inlineStr">
        <is>
          <t>P1</t>
        </is>
      </c>
      <c r="H5" s="11" t="inlineStr"/>
      <c r="I5" s="11" t="inlineStr"/>
    </row>
    <row r="6">
      <c r="A6" s="11" t="inlineStr">
        <is>
          <t>FC-005</t>
        </is>
      </c>
      <c r="B6" s="11" t="inlineStr">
        <is>
          <t>1.0.0</t>
        </is>
      </c>
      <c r="C6" s="11" t="inlineStr">
        <is>
          <t>F-05</t>
        </is>
      </c>
      <c r="D6" s="11" t="inlineStr">
        <is>
          <t>Clients : plusieurs numéros, profil réseau, appeler / WhatsApp, stats</t>
        </is>
      </c>
      <c r="E6" s="11" t="inlineStr">
        <is>
          <t>mobile</t>
        </is>
      </c>
      <c r="F6" s="11" t="inlineStr">
        <is>
          <t>Fait</t>
        </is>
      </c>
      <c r="G6" s="11" t="inlineStr">
        <is>
          <t>P1</t>
        </is>
      </c>
      <c r="H6" s="11" t="inlineStr"/>
      <c r="I6" s="11" t="inlineStr"/>
    </row>
    <row r="7">
      <c r="A7" s="11" t="inlineStr">
        <is>
          <t>FC-006</t>
        </is>
      </c>
      <c r="B7" s="11" t="inlineStr">
        <is>
          <t>1.0.0</t>
        </is>
      </c>
      <c r="C7" s="11" t="inlineStr">
        <is>
          <t>F-06</t>
        </is>
      </c>
      <c r="D7" s="11" t="inlineStr">
        <is>
          <t>Nouvelle commande en 4 étapes (client, produits, remise et date, paiement)</t>
        </is>
      </c>
      <c r="E7" s="11" t="inlineStr">
        <is>
          <t>mobile</t>
        </is>
      </c>
      <c r="F7" s="11" t="inlineStr">
        <is>
          <t>Fait</t>
        </is>
      </c>
      <c r="G7" s="11" t="inlineStr">
        <is>
          <t>P1</t>
        </is>
      </c>
      <c r="H7" s="11" t="inlineStr"/>
      <c r="I7" s="11" t="inlineStr"/>
    </row>
    <row r="8">
      <c r="A8" s="11" t="inlineStr">
        <is>
          <t>FC-007</t>
        </is>
      </c>
      <c r="B8" s="11" t="inlineStr">
        <is>
          <t>1.0.0</t>
        </is>
      </c>
      <c r="C8" s="11" t="inlineStr">
        <is>
          <t>F-07</t>
        </is>
      </c>
      <c r="D8" s="11" t="inlineStr">
        <is>
          <t>Liste et fiche commande : dates, recherche, filtres, retards, Terminées</t>
        </is>
      </c>
      <c r="E8" s="11" t="inlineStr">
        <is>
          <t>mobile</t>
        </is>
      </c>
      <c r="F8" s="11" t="inlineStr">
        <is>
          <t>Fait</t>
        </is>
      </c>
      <c r="G8" s="11" t="inlineStr">
        <is>
          <t>P1</t>
        </is>
      </c>
      <c r="H8" s="11" t="inlineStr"/>
      <c r="I8" s="11" t="inlineStr"/>
    </row>
    <row r="9">
      <c r="A9" s="11" t="inlineStr">
        <is>
          <t>FC-008</t>
        </is>
      </c>
      <c r="B9" s="11" t="inlineStr">
        <is>
          <t>1.0.0</t>
        </is>
      </c>
      <c r="C9" s="11" t="inlineStr">
        <is>
          <t>F-08</t>
        </is>
      </c>
      <c r="D9" s="11" t="inlineStr">
        <is>
          <t>Dépenses</t>
        </is>
      </c>
      <c r="E9" s="11" t="inlineStr">
        <is>
          <t>mobile</t>
        </is>
      </c>
      <c r="F9" s="11" t="inlineStr">
        <is>
          <t>Fait</t>
        </is>
      </c>
      <c r="G9" s="11" t="inlineStr">
        <is>
          <t>P2</t>
        </is>
      </c>
      <c r="H9" s="11" t="inlineStr"/>
      <c r="I9" s="11" t="inlineStr"/>
    </row>
    <row r="10">
      <c r="A10" s="11" t="inlineStr">
        <is>
          <t>FC-009</t>
        </is>
      </c>
      <c r="B10" s="11" t="inlineStr">
        <is>
          <t>1.0.0</t>
        </is>
      </c>
      <c r="C10" s="11" t="inlineStr">
        <is>
          <t>F-09</t>
        </is>
      </c>
      <c r="D10" s="11" t="inlineStr">
        <is>
          <t>Tableau de bord : CA, bénéfice, compteurs, À traiter</t>
        </is>
      </c>
      <c r="E10" s="11" t="inlineStr">
        <is>
          <t>mobile</t>
        </is>
      </c>
      <c r="F10" s="11" t="inlineStr">
        <is>
          <t>Fait</t>
        </is>
      </c>
      <c r="G10" s="11" t="inlineStr">
        <is>
          <t>P1</t>
        </is>
      </c>
      <c r="H10" s="11" t="inlineStr"/>
      <c r="I10" s="11" t="inlineStr"/>
    </row>
    <row r="11">
      <c r="A11" s="11" t="inlineStr">
        <is>
          <t>FC-010</t>
        </is>
      </c>
      <c r="B11" s="11" t="inlineStr">
        <is>
          <t>1.0.0</t>
        </is>
      </c>
      <c r="C11" s="11" t="inlineStr">
        <is>
          <t>—</t>
        </is>
      </c>
      <c r="D11" s="11" t="inlineStr">
        <is>
          <t>API Express + Postgres, tests d’intégration (88)</t>
        </is>
      </c>
      <c r="E11" s="11" t="inlineStr">
        <is>
          <t>api</t>
        </is>
      </c>
      <c r="F11" s="11" t="inlineStr">
        <is>
          <t>Fait</t>
        </is>
      </c>
      <c r="G11" s="11" t="inlineStr">
        <is>
          <t>P1</t>
        </is>
      </c>
      <c r="H11" s="11" t="inlineStr"/>
      <c r="I11" s="11" t="inlineStr"/>
    </row>
    <row r="12">
      <c r="A12" s="11" t="inlineStr">
        <is>
          <t>FC-011</t>
        </is>
      </c>
      <c r="B12" s="11" t="inlineStr">
        <is>
          <t>1.0.0</t>
        </is>
      </c>
      <c r="C12" s="11" t="inlineStr">
        <is>
          <t>—</t>
        </is>
      </c>
      <c r="D12" s="11" t="inlineStr">
        <is>
          <t>Déploiement : API Render + base Neon, APK preview EAS</t>
        </is>
      </c>
      <c r="E12" s="11" t="inlineStr">
        <is>
          <t>infra</t>
        </is>
      </c>
      <c r="F12" s="11" t="inlineStr">
        <is>
          <t>Fait</t>
        </is>
      </c>
      <c r="G12" s="11" t="inlineStr">
        <is>
          <t>P1</t>
        </is>
      </c>
      <c r="H12" s="11" t="inlineStr"/>
      <c r="I12" s="11" t="inlineStr"/>
    </row>
    <row r="13">
      <c r="A13" s="11" t="inlineStr">
        <is>
          <t>FC-012</t>
        </is>
      </c>
      <c r="B13" s="11" t="inlineStr">
        <is>
          <t>1.0.1</t>
        </is>
      </c>
      <c r="C13" s="11" t="inlineStr">
        <is>
          <t>—</t>
        </is>
      </c>
      <c r="D13" s="11" t="inlineStr">
        <is>
          <t>Retours de test : polices intégrées, marge basse, clavier, bordures</t>
        </is>
      </c>
      <c r="E13" s="11" t="inlineStr">
        <is>
          <t>mobile</t>
        </is>
      </c>
      <c r="F13" s="11" t="inlineStr">
        <is>
          <t>Fait</t>
        </is>
      </c>
      <c r="G13" s="11" t="inlineStr">
        <is>
          <t>P1</t>
        </is>
      </c>
      <c r="H13" s="11" t="inlineStr">
        <is>
          <t>01/10/2026</t>
        </is>
      </c>
      <c r="I13" s="11" t="inlineStr">
        <is>
          <t>Testé sur téléphone</t>
        </is>
      </c>
    </row>
    <row r="14">
      <c r="A14" s="11" t="inlineStr">
        <is>
          <t>FC-013</t>
        </is>
      </c>
      <c r="B14" s="11" t="inlineStr">
        <is>
          <t>1.0.1</t>
        </is>
      </c>
      <c r="C14" s="11" t="inlineStr">
        <is>
          <t>—</t>
        </is>
      </c>
      <c r="D14" s="11" t="inlineStr">
        <is>
          <t>Icône, écran de démarrage et logo de connexion</t>
        </is>
      </c>
      <c r="E14" s="11" t="inlineStr">
        <is>
          <t>mobile</t>
        </is>
      </c>
      <c r="F14" s="11" t="inlineStr">
        <is>
          <t>Fait</t>
        </is>
      </c>
      <c r="G14" s="11" t="inlineStr">
        <is>
          <t>P2</t>
        </is>
      </c>
      <c r="H14" s="11" t="inlineStr">
        <is>
          <t>01/10/2026</t>
        </is>
      </c>
      <c r="I14" s="11" t="inlineStr"/>
    </row>
    <row r="15">
      <c r="A15" s="11" t="inlineStr">
        <is>
          <t>FC-014</t>
        </is>
      </c>
      <c r="B15" s="11" t="inlineStr">
        <is>
          <t>1.0.1</t>
        </is>
      </c>
      <c r="C15" s="11" t="inlineStr">
        <is>
          <t>—</t>
        </is>
      </c>
      <c r="D15" s="11" t="inlineStr">
        <is>
          <t>APK allégé : arm64-v8a + armeabi-v7a, R8</t>
        </is>
      </c>
      <c r="E15" s="11" t="inlineStr">
        <is>
          <t>infra</t>
        </is>
      </c>
      <c r="F15" s="11" t="inlineStr">
        <is>
          <t>Fait</t>
        </is>
      </c>
      <c r="G15" s="11" t="inlineStr">
        <is>
          <t>P2</t>
        </is>
      </c>
      <c r="H15" s="11" t="inlineStr">
        <is>
          <t>01/10/2026</t>
        </is>
      </c>
      <c r="I15" s="11" t="inlineStr"/>
    </row>
    <row r="16">
      <c r="A16" s="11" t="inlineStr">
        <is>
          <t>FC-015</t>
        </is>
      </c>
      <c r="B16" s="11" t="inlineStr">
        <is>
          <t>1.0.2</t>
        </is>
      </c>
      <c r="C16" s="11" t="inlineStr">
        <is>
          <t>—</t>
        </is>
      </c>
      <c r="D16" s="11" t="inlineStr">
        <is>
          <t>Nouveaux retours de test (à lister dans l’onglet Retours de test)</t>
        </is>
      </c>
      <c r="E16" s="11" t="inlineStr">
        <is>
          <t>mobile</t>
        </is>
      </c>
      <c r="F16" s="11" t="inlineStr">
        <is>
          <t>À faire</t>
        </is>
      </c>
      <c r="G16" s="11" t="inlineStr">
        <is>
          <t>P1</t>
        </is>
      </c>
      <c r="H16" s="11" t="inlineStr"/>
      <c r="I16" s="11" t="inlineStr"/>
    </row>
    <row r="17">
      <c r="A17" s="11" t="inlineStr">
        <is>
          <t>FC-016</t>
        </is>
      </c>
      <c r="B17" s="11" t="inlineStr">
        <is>
          <t>Production</t>
        </is>
      </c>
      <c r="C17" s="11" t="inlineStr">
        <is>
          <t>—</t>
        </is>
      </c>
      <c r="D17" s="11" t="inlineStr">
        <is>
          <t>Render Starter (7 $/mois) ; Neon payant dès les premiers clients payants</t>
        </is>
      </c>
      <c r="E17" s="11" t="inlineStr">
        <is>
          <t>infra</t>
        </is>
      </c>
      <c r="F17" s="11" t="inlineStr">
        <is>
          <t>À faire</t>
        </is>
      </c>
      <c r="G17" s="11" t="inlineStr">
        <is>
          <t>P1</t>
        </is>
      </c>
      <c r="H17" s="11" t="inlineStr"/>
      <c r="I17" s="11" t="inlineStr">
        <is>
          <t>Supprime la mise en veille</t>
        </is>
      </c>
    </row>
    <row r="18">
      <c r="A18" s="11" t="inlineStr">
        <is>
          <t>FC-017</t>
        </is>
      </c>
      <c r="B18" s="11" t="inlineStr">
        <is>
          <t>Production</t>
        </is>
      </c>
      <c r="C18" s="11" t="inlineStr">
        <is>
          <t>F-01</t>
        </is>
      </c>
      <c r="D18" s="11" t="inlineStr">
        <is>
          <t>SHA-1 de la clé EAS dans Firebase (Google dans l’APK)</t>
        </is>
      </c>
      <c r="E18" s="11" t="inlineStr">
        <is>
          <t>infra</t>
        </is>
      </c>
      <c r="F18" s="11" t="inlineStr">
        <is>
          <t>À faire</t>
        </is>
      </c>
      <c r="G18" s="11" t="inlineStr">
        <is>
          <t>P1</t>
        </is>
      </c>
      <c r="H18" s="11" t="inlineStr"/>
      <c r="I18" s="11" t="inlineStr"/>
    </row>
    <row r="19">
      <c r="A19" s="11" t="inlineStr">
        <is>
          <t>FC-018</t>
        </is>
      </c>
      <c r="B19" s="11" t="inlineStr">
        <is>
          <t>Production</t>
        </is>
      </c>
      <c r="C19" s="11" t="inlineStr">
        <is>
          <t>—</t>
        </is>
      </c>
      <c r="D19" s="11" t="inlineStr">
        <is>
          <t>Limite de requêtes (rate limiting) sur l’API</t>
        </is>
      </c>
      <c r="E19" s="11" t="inlineStr">
        <is>
          <t>api</t>
        </is>
      </c>
      <c r="F19" s="11" t="inlineStr">
        <is>
          <t>À faire</t>
        </is>
      </c>
      <c r="G19" s="11" t="inlineStr">
        <is>
          <t>P1</t>
        </is>
      </c>
      <c r="H19" s="11" t="inlineStr"/>
      <c r="I19" s="11" t="inlineStr"/>
    </row>
    <row r="20">
      <c r="A20" s="11" t="inlineStr">
        <is>
          <t>FC-019</t>
        </is>
      </c>
      <c r="B20" s="11" t="inlineStr">
        <is>
          <t>Production</t>
        </is>
      </c>
      <c r="C20" s="11" t="inlineStr">
        <is>
          <t>F-03</t>
        </is>
      </c>
      <c r="D20" s="11" t="inlineStr">
        <is>
          <t>Photos : activer Firebase Storage (Blaze), bucket, règles</t>
        </is>
      </c>
      <c r="E20" s="11" t="inlineStr">
        <is>
          <t>infra</t>
        </is>
      </c>
      <c r="F20" s="11" t="inlineStr">
        <is>
          <t>À faire</t>
        </is>
      </c>
      <c r="G20" s="11" t="inlineStr">
        <is>
          <t>P2</t>
        </is>
      </c>
      <c r="H20" s="11" t="inlineStr"/>
      <c r="I20" s="11" t="inlineStr">
        <is>
          <t>En attendant : sans photo</t>
        </is>
      </c>
    </row>
    <row r="21">
      <c r="A21" s="11" t="inlineStr">
        <is>
          <t>FC-020</t>
        </is>
      </c>
      <c r="B21" s="11" t="inlineStr">
        <is>
          <t>Production</t>
        </is>
      </c>
      <c r="C21" s="11" t="inlineStr">
        <is>
          <t>—</t>
        </is>
      </c>
      <c r="D21" s="11" t="inlineStr">
        <is>
          <t>Publication Play Store (compte 25 $, .aab, SHA-1 Google Play)</t>
        </is>
      </c>
      <c r="E21" s="11" t="inlineStr">
        <is>
          <t>infra</t>
        </is>
      </c>
      <c r="F21" s="11" t="inlineStr">
        <is>
          <t>À faire</t>
        </is>
      </c>
      <c r="G21" s="11" t="inlineStr">
        <is>
          <t>P1</t>
        </is>
      </c>
      <c r="H21" s="11" t="inlineStr"/>
      <c r="I21" s="11" t="inlineStr"/>
    </row>
    <row r="22">
      <c r="A22" s="11" t="inlineStr">
        <is>
          <t>FC-021</t>
        </is>
      </c>
      <c r="B22" s="11" t="inlineStr">
        <is>
          <t>Production</t>
        </is>
      </c>
      <c r="C22" s="11" t="inlineStr">
        <is>
          <t>F-02</t>
        </is>
      </c>
      <c r="D22" s="11" t="inlineStr">
        <is>
          <t>Logo de chaque boutique dans l’en-tête</t>
        </is>
      </c>
      <c r="E22" s="11" t="inlineStr">
        <is>
          <t>mobile</t>
        </is>
      </c>
      <c r="F22" s="11" t="inlineStr">
        <is>
          <t>À faire</t>
        </is>
      </c>
      <c r="G22" s="11" t="inlineStr">
        <is>
          <t>P3</t>
        </is>
      </c>
      <c r="H22" s="11" t="inlineStr"/>
      <c r="I22" s="11" t="inlineStr"/>
    </row>
    <row r="23">
      <c r="A23" s="11" t="inlineStr">
        <is>
          <t>FC-022</t>
        </is>
      </c>
      <c r="B23" s="11" t="inlineStr">
        <is>
          <t>1.1.0</t>
        </is>
      </c>
      <c r="C23" s="11" t="inlineStr">
        <is>
          <t>F-15</t>
        </is>
      </c>
      <c r="D23" s="11" t="inlineStr">
        <is>
          <t>Cache persistant : ouverture instantanée avec les dernières données</t>
        </is>
      </c>
      <c r="E23" s="11" t="inlineStr">
        <is>
          <t>mobile</t>
        </is>
      </c>
      <c r="F23" s="11" t="inlineStr">
        <is>
          <t>À faire</t>
        </is>
      </c>
      <c r="G23" s="11" t="inlineStr">
        <is>
          <t>P1</t>
        </is>
      </c>
      <c r="H23" s="11" t="inlineStr"/>
      <c r="I23" s="11" t="inlineStr"/>
    </row>
    <row r="24">
      <c r="A24" s="11" t="inlineStr">
        <is>
          <t>FC-023</t>
        </is>
      </c>
      <c r="B24" s="11" t="inlineStr">
        <is>
          <t>1.1.0</t>
        </is>
      </c>
      <c r="C24" s="11" t="inlineStr">
        <is>
          <t>F-15</t>
        </is>
      </c>
      <c r="D24" s="11" t="inlineStr">
        <is>
          <t>Réveil de l’API au lancement + bandeau « Hors ligne »</t>
        </is>
      </c>
      <c r="E24" s="11" t="inlineStr">
        <is>
          <t>mobile</t>
        </is>
      </c>
      <c r="F24" s="11" t="inlineStr">
        <is>
          <t>À faire</t>
        </is>
      </c>
      <c r="G24" s="11" t="inlineStr">
        <is>
          <t>P2</t>
        </is>
      </c>
      <c r="H24" s="11" t="inlineStr"/>
      <c r="I24" s="11" t="inlineStr"/>
    </row>
    <row r="25">
      <c r="A25" s="11" t="inlineStr">
        <is>
          <t>FC-024</t>
        </is>
      </c>
      <c r="B25" s="11" t="inlineStr">
        <is>
          <t>1.2.0</t>
        </is>
      </c>
      <c r="C25" s="11" t="inlineStr">
        <is>
          <t>F-10</t>
        </is>
      </c>
      <c r="D25" s="11" t="inlineStr">
        <is>
          <t>Migration : shop_members, shop_invitations, orders.assigned_to</t>
        </is>
      </c>
      <c r="E25" s="11" t="inlineStr">
        <is>
          <t>api</t>
        </is>
      </c>
      <c r="F25" s="11" t="inlineStr">
        <is>
          <t>À faire</t>
        </is>
      </c>
      <c r="G25" s="11" t="inlineStr">
        <is>
          <t>P1</t>
        </is>
      </c>
      <c r="H25" s="11" t="inlineStr"/>
      <c r="I25" s="11" t="inlineStr"/>
    </row>
    <row r="26">
      <c r="A26" s="11" t="inlineStr">
        <is>
          <t>FC-025</t>
        </is>
      </c>
      <c r="B26" s="11" t="inlineStr">
        <is>
          <t>1.2.0</t>
        </is>
      </c>
      <c r="C26" s="11" t="inlineStr">
        <is>
          <t>RG-51</t>
        </is>
      </c>
      <c r="D26" s="11" t="inlineStr">
        <is>
          <t>Droits par rôle sur toutes les routes (tests par rôle)</t>
        </is>
      </c>
      <c r="E26" s="11" t="inlineStr">
        <is>
          <t>api</t>
        </is>
      </c>
      <c r="F26" s="11" t="inlineStr">
        <is>
          <t>À faire</t>
        </is>
      </c>
      <c r="G26" s="11" t="inlineStr">
        <is>
          <t>P1</t>
        </is>
      </c>
      <c r="H26" s="11" t="inlineStr"/>
      <c r="I26" s="11" t="inlineStr"/>
    </row>
    <row r="27">
      <c r="A27" s="11" t="inlineStr">
        <is>
          <t>FC-026</t>
        </is>
      </c>
      <c r="B27" s="11" t="inlineStr">
        <is>
          <t>1.2.0</t>
        </is>
      </c>
      <c r="C27" s="11" t="inlineStr">
        <is>
          <t>F-10</t>
        </is>
      </c>
      <c r="D27" s="11" t="inlineStr">
        <is>
          <t>Endpoints équipe et invitations (propriétaire, gérant → CM)</t>
        </is>
      </c>
      <c r="E27" s="11" t="inlineStr">
        <is>
          <t>api</t>
        </is>
      </c>
      <c r="F27" s="11" t="inlineStr">
        <is>
          <t>À faire</t>
        </is>
      </c>
      <c r="G27" s="11" t="inlineStr">
        <is>
          <t>P1</t>
        </is>
      </c>
      <c r="H27" s="11" t="inlineStr"/>
      <c r="I27" s="11" t="inlineStr"/>
    </row>
    <row r="28">
      <c r="A28" s="11" t="inlineStr">
        <is>
          <t>FC-027</t>
        </is>
      </c>
      <c r="B28" s="11" t="inlineStr">
        <is>
          <t>1.2.0</t>
        </is>
      </c>
      <c r="C28" s="11" t="inlineStr">
        <is>
          <t>F-12</t>
        </is>
      </c>
      <c r="D28" s="11" t="inlineStr">
        <is>
          <t>Assigner un livreur ; le livreur prend une livraison non assignée</t>
        </is>
      </c>
      <c r="E28" s="11" t="inlineStr">
        <is>
          <t>api</t>
        </is>
      </c>
      <c r="F28" s="11" t="inlineStr">
        <is>
          <t>À faire</t>
        </is>
      </c>
      <c r="G28" s="11" t="inlineStr">
        <is>
          <t>P1</t>
        </is>
      </c>
      <c r="H28" s="11" t="inlineStr"/>
      <c r="I28" s="11" t="inlineStr"/>
    </row>
    <row r="29">
      <c r="A29" s="11" t="inlineStr">
        <is>
          <t>FC-028</t>
        </is>
      </c>
      <c r="B29" s="11" t="inlineStr">
        <is>
          <t>1.2.0</t>
        </is>
      </c>
      <c r="C29" s="11" t="inlineStr">
        <is>
          <t>F-10</t>
        </is>
      </c>
      <c r="D29" s="11" t="inlineStr">
        <is>
          <t>Écran Équipe : membres, inviter (code), changer de rôle, retirer</t>
        </is>
      </c>
      <c r="E29" s="11" t="inlineStr">
        <is>
          <t>mobile</t>
        </is>
      </c>
      <c r="F29" s="11" t="inlineStr">
        <is>
          <t>À faire</t>
        </is>
      </c>
      <c r="G29" s="11" t="inlineStr">
        <is>
          <t>P1</t>
        </is>
      </c>
      <c r="H29" s="11" t="inlineStr"/>
      <c r="I29" s="11" t="inlineStr"/>
    </row>
    <row r="30">
      <c r="A30" s="11" t="inlineStr">
        <is>
          <t>FC-029</t>
        </is>
      </c>
      <c r="B30" s="11" t="inlineStr">
        <is>
          <t>1.2.0</t>
        </is>
      </c>
      <c r="C30" s="11" t="inlineStr">
        <is>
          <t>F-11</t>
        </is>
      </c>
      <c r="D30" s="11" t="inlineStr">
        <is>
          <t>Rejoindre une boutique avec un code ; quitter une boutique</t>
        </is>
      </c>
      <c r="E30" s="11" t="inlineStr">
        <is>
          <t>mobile</t>
        </is>
      </c>
      <c r="F30" s="11" t="inlineStr">
        <is>
          <t>À faire</t>
        </is>
      </c>
      <c r="G30" s="11" t="inlineStr">
        <is>
          <t>P1</t>
        </is>
      </c>
      <c r="H30" s="11" t="inlineStr"/>
      <c r="I30" s="11" t="inlineStr"/>
    </row>
    <row r="31">
      <c r="A31" s="11" t="inlineStr">
        <is>
          <t>FC-030</t>
        </is>
      </c>
      <c r="B31" s="11" t="inlineStr">
        <is>
          <t>1.2.0</t>
        </is>
      </c>
      <c r="C31" s="11" t="inlineStr">
        <is>
          <t>F-13</t>
        </is>
      </c>
      <c r="D31" s="11" t="inlineStr">
        <is>
          <t>Espace livreur : Mes livraisons, À prendre</t>
        </is>
      </c>
      <c r="E31" s="11" t="inlineStr">
        <is>
          <t>mobile</t>
        </is>
      </c>
      <c r="F31" s="11" t="inlineStr">
        <is>
          <t>À faire</t>
        </is>
      </c>
      <c r="G31" s="11" t="inlineStr">
        <is>
          <t>P1</t>
        </is>
      </c>
      <c r="H31" s="11" t="inlineStr"/>
      <c r="I31" s="11" t="inlineStr"/>
    </row>
    <row r="32">
      <c r="A32" s="11" t="inlineStr">
        <is>
          <t>FC-031</t>
        </is>
      </c>
      <c r="B32" s="11" t="inlineStr">
        <is>
          <t>1.2.0</t>
        </is>
      </c>
      <c r="C32" s="11" t="inlineStr">
        <is>
          <t>F-14</t>
        </is>
      </c>
      <c r="D32" s="11" t="inlineStr">
        <is>
          <t>Navigation et boutons masqués selon le rôle</t>
        </is>
      </c>
      <c r="E32" s="11" t="inlineStr">
        <is>
          <t>mobile</t>
        </is>
      </c>
      <c r="F32" s="11" t="inlineStr">
        <is>
          <t>À faire</t>
        </is>
      </c>
      <c r="G32" s="11" t="inlineStr">
        <is>
          <t>P1</t>
        </is>
      </c>
      <c r="H32" s="11" t="inlineStr"/>
      <c r="I32" s="11" t="inlineStr"/>
    </row>
    <row r="33">
      <c r="A33" s="11" t="inlineStr">
        <is>
          <t>FC-032</t>
        </is>
      </c>
      <c r="B33" s="11" t="inlineStr">
        <is>
          <t>1.2.0</t>
        </is>
      </c>
      <c r="C33" s="11" t="inlineStr">
        <is>
          <t>F-17</t>
        </is>
      </c>
      <c r="D33" s="11" t="inlineStr">
        <is>
          <t>Notifications push (FCM) : assignation, à prendre, livrée, encaissée</t>
        </is>
      </c>
      <c r="E33" s="11" t="inlineStr">
        <is>
          <t>api</t>
        </is>
      </c>
      <c r="F33" s="11" t="inlineStr">
        <is>
          <t>À faire</t>
        </is>
      </c>
      <c r="G33" s="11" t="inlineStr">
        <is>
          <t>P2</t>
        </is>
      </c>
      <c r="H33" s="11" t="inlineStr"/>
      <c r="I33" s="11" t="inlineStr"/>
    </row>
    <row r="34">
      <c r="A34" s="11" t="inlineStr">
        <is>
          <t>FC-033</t>
        </is>
      </c>
      <c r="B34" s="11" t="inlineStr">
        <is>
          <t>Plus tard</t>
        </is>
      </c>
      <c r="C34" s="11" t="inlineStr">
        <is>
          <t>F-16</t>
        </is>
      </c>
      <c r="D34" s="11" t="inlineStr">
        <is>
          <t>Hors ligne niveau B : actions synchronisées, conflits de stock</t>
        </is>
      </c>
      <c r="E34" s="11" t="inlineStr">
        <is>
          <t>mobile</t>
        </is>
      </c>
      <c r="F34" s="11" t="inlineStr">
        <is>
          <t>À faire</t>
        </is>
      </c>
      <c r="G34" s="11" t="inlineStr">
        <is>
          <t>P2</t>
        </is>
      </c>
      <c r="H34" s="11" t="inlineStr"/>
      <c r="I34" s="11" t="inlineStr"/>
    </row>
    <row r="35">
      <c r="A35" s="11" t="inlineStr">
        <is>
          <t>FC-034</t>
        </is>
      </c>
      <c r="B35" s="11" t="inlineStr">
        <is>
          <t>Plus tard</t>
        </is>
      </c>
      <c r="C35" s="11" t="inlineStr">
        <is>
          <t>F-07</t>
        </is>
      </c>
      <c r="D35" s="11" t="inlineStr">
        <is>
          <t>Filtres Commandes « non payées » et « sans client »</t>
        </is>
      </c>
      <c r="E35" s="11" t="inlineStr">
        <is>
          <t>api</t>
        </is>
      </c>
      <c r="F35" s="11" t="inlineStr">
        <is>
          <t>À faire</t>
        </is>
      </c>
      <c r="G35" s="11" t="inlineStr">
        <is>
          <t>P3</t>
        </is>
      </c>
      <c r="H35" s="11" t="inlineStr"/>
      <c r="I35" s="11" t="inlineStr"/>
    </row>
    <row r="36">
      <c r="A36" s="11" t="inlineStr">
        <is>
          <t>FC-035</t>
        </is>
      </c>
      <c r="B36" s="11" t="inlineStr">
        <is>
          <t>Plus tard</t>
        </is>
      </c>
      <c r="C36" s="11" t="inlineStr">
        <is>
          <t>RG-24</t>
        </is>
      </c>
      <c r="D36" s="11" t="inlineStr">
        <is>
          <t>Modifier les lignes d’une commande en attente</t>
        </is>
      </c>
      <c r="E36" s="11" t="inlineStr">
        <is>
          <t>mobile</t>
        </is>
      </c>
      <c r="F36" s="11" t="inlineStr">
        <is>
          <t>À faire</t>
        </is>
      </c>
      <c r="G36" s="11" t="inlineStr">
        <is>
          <t>P3</t>
        </is>
      </c>
      <c r="H36" s="11" t="inlineStr"/>
      <c r="I36" s="11" t="inlineStr">
        <is>
          <t>L’API le permet déjà</t>
        </is>
      </c>
    </row>
    <row r="37">
      <c r="A37" s="11" t="inlineStr">
        <is>
          <t>FC-036</t>
        </is>
      </c>
      <c r="B37" s="11" t="inlineStr">
        <is>
          <t>Plus tard</t>
        </is>
      </c>
      <c r="C37" s="11" t="inlineStr">
        <is>
          <t>—</t>
        </is>
      </c>
      <c r="D37" s="11" t="inlineStr">
        <is>
          <t>Mises à jour sans Play Store (EAS Update)</t>
        </is>
      </c>
      <c r="E37" s="11" t="inlineStr">
        <is>
          <t>infra</t>
        </is>
      </c>
      <c r="F37" s="11" t="inlineStr">
        <is>
          <t>À faire</t>
        </is>
      </c>
      <c r="G37" s="11" t="inlineStr">
        <is>
          <t>P2</t>
        </is>
      </c>
      <c r="H37" s="11" t="inlineStr"/>
      <c r="I37" s="11" t="inlineStr"/>
    </row>
    <row r="38">
      <c r="A38" s="11" t="inlineStr">
        <is>
          <t>FC-037</t>
        </is>
      </c>
      <c r="B38" s="11" t="inlineStr">
        <is>
          <t>Plus tard</t>
        </is>
      </c>
      <c r="C38" s="11" t="inlineStr">
        <is>
          <t>—</t>
        </is>
      </c>
      <c r="D38" s="11" t="inlineStr">
        <is>
          <t>Build Android local (Java 17 + SDK Android, Mac Intel)</t>
        </is>
      </c>
      <c r="E38" s="11" t="inlineStr">
        <is>
          <t>infra</t>
        </is>
      </c>
      <c r="F38" s="11" t="inlineStr">
        <is>
          <t>À faire</t>
        </is>
      </c>
      <c r="G38" s="11" t="inlineStr">
        <is>
          <t>P3</t>
        </is>
      </c>
      <c r="H38" s="11" t="inlineStr"/>
      <c r="I38" s="11" t="inlineStr"/>
    </row>
  </sheetData>
  <autoFilter ref="A1:I38"/>
  <conditionalFormatting sqref="F2:F300">
    <cfRule type="cellIs" priority="1" operator="equal" dxfId="0">
      <formula>"Fait"</formula>
    </cfRule>
    <cfRule type="cellIs" priority="2" operator="equal" dxfId="1">
      <formula>"En test"</formula>
    </cfRule>
    <cfRule type="cellIs" priority="3" operator="equal" dxfId="2">
      <formula>"En cours"</formula>
    </cfRule>
    <cfRule type="cellIs" priority="4" operator="equal" dxfId="3">
      <formula>"À faire"</formula>
    </cfRule>
  </conditionalFormatting>
  <dataValidations count="3">
    <dataValidation sqref="F2:F300" showDropDown="0" showInputMessage="0" showErrorMessage="0" allowBlank="0" type="list">
      <formula1>"À faire,En cours,En test,Fait"</formula1>
    </dataValidation>
    <dataValidation sqref="G2:G300" showDropDown="0" showInputMessage="0" showErrorMessage="0" allowBlank="0" type="list">
      <formula1>"P1,P2,P3"</formula1>
    </dataValidation>
    <dataValidation sqref="E2:E300" showDropDown="0" showInputMessage="0" showErrorMessage="0" allowBlank="0" type="list">
      <formula1>"mobile,api,infra"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55" customWidth="1" min="4" max="4"/>
    <col width="22" customWidth="1" min="5" max="5"/>
    <col width="11" customWidth="1" min="6" max="6"/>
    <col width="12" customWidth="1" min="7" max="7"/>
    <col width="11" customWidth="1" min="8" max="8"/>
  </cols>
  <sheetData>
    <row r="1">
      <c r="A1" s="10" t="inlineStr">
        <is>
          <t>Date</t>
        </is>
      </c>
      <c r="B1" s="10" t="inlineStr">
        <is>
          <t>Version testée</t>
        </is>
      </c>
      <c r="C1" s="10" t="inlineStr">
        <is>
          <t>Écran</t>
        </is>
      </c>
      <c r="D1" s="10" t="inlineStr">
        <is>
          <t>Problème</t>
        </is>
      </c>
      <c r="E1" s="10" t="inlineStr">
        <is>
          <t>Capture (lien)</t>
        </is>
      </c>
      <c r="F1" s="10" t="inlineStr">
        <is>
          <t>Gravité</t>
        </is>
      </c>
      <c r="G1" s="10" t="inlineStr">
        <is>
          <t>Tâche créée</t>
        </is>
      </c>
      <c r="H1" s="10" t="inlineStr">
        <is>
          <t>Statut</t>
        </is>
      </c>
    </row>
    <row r="2">
      <c r="A2" s="11" t="inlineStr">
        <is>
          <t>01/10/2026</t>
        </is>
      </c>
      <c r="B2" s="11" t="inlineStr">
        <is>
          <t>1.0.0</t>
        </is>
      </c>
      <c r="C2" s="11" t="inlineStr">
        <is>
          <t>Connexion</t>
        </is>
      </c>
      <c r="D2" s="11" t="inlineStr">
        <is>
          <t>Textes coupés : « Se », « Mot de passe », « Créer un »</t>
        </is>
      </c>
      <c r="E2" s="11" t="inlineStr"/>
      <c r="F2" s="11" t="inlineStr">
        <is>
          <t>Bloquant</t>
        </is>
      </c>
      <c r="G2" s="11" t="inlineStr">
        <is>
          <t>FC-012</t>
        </is>
      </c>
      <c r="H2" s="11" t="inlineStr">
        <is>
          <t>Fait</t>
        </is>
      </c>
    </row>
  </sheetData>
  <conditionalFormatting sqref="H2:H300">
    <cfRule type="cellIs" priority="1" operator="equal" dxfId="0">
      <formula>"Fait"</formula>
    </cfRule>
    <cfRule type="cellIs" priority="2" operator="equal" dxfId="1">
      <formula>"En test"</formula>
    </cfRule>
    <cfRule type="cellIs" priority="3" operator="equal" dxfId="2">
      <formula>"En cours"</formula>
    </cfRule>
    <cfRule type="cellIs" priority="4" operator="equal" dxfId="3">
      <formula>"À faire"</formula>
    </cfRule>
  </conditionalFormatting>
  <dataValidations count="2">
    <dataValidation sqref="F2:F300" showDropDown="0" showInputMessage="0" showErrorMessage="0" allowBlank="0" type="list">
      <formula1>"Bloquant,Gênant,Mineur"</formula1>
    </dataValidation>
    <dataValidation sqref="H2:H300" showDropDown="0" showInputMessage="0" showErrorMessage="0" allowBlank="0" type="list">
      <formula1>"À faire,En cours,En test,Fait"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2026-10-01T07:28:39Z</dcterms:created>
  <dcterms:modified xsi:type="dcterms:W3CDTF">2026-10-01T07:28:39Z</dcterms:modified>
</cp:coreProperties>
</file>